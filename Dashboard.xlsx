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138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<sst xmlns="http://schemas.openxmlformats.org/spreadsheetml/2006/main" count="31" uniqueCount="31">
  <si>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BANK LOAN ANALYSIS DASHBOARD</t>
  </si>
  <si>
    <t>Create KPI Cards</t>
  </si>
  <si>
    <t>Load_type</t>
  </si>
  <si>
    <t>Total_Loan_amount</t>
  </si>
  <si>
    <t>KPI</t>
  </si>
  <si>
    <t>Value</t>
  </si>
  <si>
    <t>Home</t>
  </si>
  <si>
    <t>Toal Application</t>
  </si>
  <si>
    <t>Personal</t>
  </si>
  <si>
    <t>Toal Loan Amount</t>
  </si>
  <si>
    <t>Car</t>
  </si>
  <si>
    <t>Approved Applications</t>
  </si>
  <si>
    <t>Animal</t>
  </si>
  <si>
    <t>Rejected Applications</t>
  </si>
  <si>
    <t>Land</t>
  </si>
  <si>
    <t>Approval Rate</t>
  </si>
  <si>
    <t>Loan Applications Age Group</t>
  </si>
  <si>
    <t>Group Age</t>
  </si>
  <si>
    <t>Applications</t>
  </si>
  <si>
    <t>Under 25</t>
  </si>
  <si>
    <t>25-35</t>
  </si>
  <si>
    <t>36-45</t>
  </si>
  <si>
    <t>Above 45</t>
  </si>
  <si>
    <t>Fig1: Approved VS Recjected</t>
  </si>
  <si>
    <t>Fig2: Total Applications</t>
  </si>
  <si>
    <t>Loan Status Analysis</t>
  </si>
  <si>
    <t>Loan_status</t>
  </si>
  <si>
    <t>Count</t>
  </si>
  <si>
    <t>Approved</t>
  </si>
  <si>
    <t>Rejected</t>
  </si>
  <si>
    <t>Fig3 : Toal Loan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</si>
</sst>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Sheet1!$A$6:$A$7</c:f>
              <c:strCache>
                <c:ptCount val="2"/>
                <c:pt idx="0">
                  <c:v>Approved Applications</c:v>
                </c:pt>
                <c:pt idx="1">
                  <c:v>Rejected Applications</c:v>
                </c:pt>
              </c:strCache>
            </c:strRef>
          </c:cat>
          <c:val>
            <c:numRef>
              <c:f>Sheet1!$B$6:$B$7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[1]Sheet1!$L$8</c:f>
              <c:strCache>
                <c:ptCount val="1"/>
                <c:pt idx="0">
                  <c:v>Applications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[1]Sheet1!$K$9:$K$12</c:f>
              <c:strCache>
                <c:ptCount val="4"/>
                <c:pt idx="0">
                  <c:v>Under 25</c:v>
                </c:pt>
                <c:pt idx="1">
                  <c:v>25-35</c:v>
                </c:pt>
                <c:pt idx="2">
                  <c:v>36-45</c:v>
                </c:pt>
                <c:pt idx="3">
                  <c:v>Above 45</c:v>
                </c:pt>
              </c:strCache>
            </c:strRef>
          </c:cat>
          <c:val>
            <c:numRef>
              <c:f>[1]Sheet1!$L$9:$L$12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a93d3a-81c8-4479-8d60-99e73ca870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[1]Sheet1!$N$2</c:f>
              <c:strCache>
                <c:ptCount val="1"/>
                <c:pt idx="0">
                  <c:v>Total_Loan_amount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[1]Sheet1!$M$3:$M$7</c:f>
              <c:strCache>
                <c:ptCount val="5"/>
                <c:pt idx="0">
                  <c:v>Home</c:v>
                </c:pt>
                <c:pt idx="1">
                  <c:v>Personal</c:v>
                </c:pt>
                <c:pt idx="2">
                  <c:v>Car</c:v>
                </c:pt>
                <c:pt idx="3">
                  <c:v>Animal</c:v>
                </c:pt>
                <c:pt idx="4">
                  <c:v>Land</c:v>
                </c:pt>
              </c:strCache>
            </c:strRef>
          </c:cat>
          <c:val>
            <c:numRef>
              <c:f>[1]Sheet1!$N$3:$N$7</c:f>
              <c:numCache>
                <c:formatCode>General</c:formatCode>
                <c:ptCount val="5"/>
                <c:pt idx="0">
                  <c:v>2900000</c:v>
                </c:pt>
                <c:pt idx="1">
                  <c:v>1500000</c:v>
                </c:pt>
                <c:pt idx="2">
                  <c:v>500000</c:v>
                </c:pt>
                <c:pt idx="3">
                  <c:v>1500000</c:v>
                </c:pt>
                <c:pt idx="4">
                  <c:v>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6ad56b-2686-4d4b-b2af-6830a4b6ea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675005</xdr:colOff>
      <xdr:row>2</xdr:row>
      <xdr:rowOff>80645</xdr:rowOff>
    </xdr:from>
    <xdr:to>
      <xdr:col>7</xdr:col>
      <xdr:colOff>570230</xdr:colOff>
      <xdr:row>13</xdr:row>
      <xdr:rowOff>44450</xdr:rowOff>
    </xdr:to>
    <xdr:graphicFrame>
      <xdr:nvGraphicFramePr>
        <xdr:cNvPr id="2" name="Chart 1"/>
        <xdr:cNvGraphicFramePr/>
      </xdr:nvGraphicFramePr>
      <xdr:xfrm>
        <a:off x="3298825" y="553085"/>
        <a:ext cx="3538855" cy="2310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1047115</xdr:colOff>
      <xdr:row>2</xdr:row>
      <xdr:rowOff>127635</xdr:rowOff>
    </xdr:from>
    <xdr:to>
      <xdr:col>12</xdr:col>
      <xdr:colOff>3810</xdr:colOff>
      <xdr:row>13</xdr:row>
      <xdr:rowOff>36195</xdr:rowOff>
    </xdr:to>
    <xdr:graphicFrame>
      <xdr:nvGraphicFramePr>
        <xdr:cNvPr id="3" name="Chart 2"/>
        <xdr:cNvGraphicFramePr/>
      </xdr:nvGraphicFramePr>
      <xdr:xfrm>
        <a:off x="7314565" y="600075"/>
        <a:ext cx="3945890" cy="225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710565</xdr:colOff>
      <xdr:row>15</xdr:row>
      <xdr:rowOff>170180</xdr:rowOff>
    </xdr:from>
    <xdr:to>
      <xdr:col>9</xdr:col>
      <xdr:colOff>28575</xdr:colOff>
      <xdr:row>23</xdr:row>
      <xdr:rowOff>26035</xdr:rowOff>
    </xdr:to>
    <xdr:graphicFrame>
      <xdr:nvGraphicFramePr>
        <xdr:cNvPr id="4" name="Chart 3"/>
        <xdr:cNvGraphicFramePr/>
      </xdr:nvGraphicFramePr>
      <xdr:xfrm>
        <a:off x="5514975" y="3416300"/>
        <a:ext cx="3575685" cy="1562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%20Loan%20Analysis%20Projec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N2" t="str">
            <v>Total_Loan_amount</v>
          </cell>
        </row>
        <row r="3">
          <cell r="M3" t="str">
            <v>Home</v>
          </cell>
          <cell r="N3">
            <v>2900000</v>
          </cell>
        </row>
        <row r="4">
          <cell r="M4" t="str">
            <v>Personal</v>
          </cell>
          <cell r="N4">
            <v>1500000</v>
          </cell>
        </row>
        <row r="5">
          <cell r="M5" t="str">
            <v>Car</v>
          </cell>
          <cell r="N5">
            <v>500000</v>
          </cell>
        </row>
        <row r="6">
          <cell r="M6" t="str">
            <v>Animal</v>
          </cell>
          <cell r="N6">
            <v>1500000</v>
          </cell>
        </row>
        <row r="7">
          <cell r="M7" t="str">
            <v>Land</v>
          </cell>
          <cell r="N7">
            <v>50000</v>
          </cell>
        </row>
        <row r="8">
          <cell r="L8" t="str">
            <v>Applications</v>
          </cell>
        </row>
        <row r="9">
          <cell r="K9" t="str">
            <v>Under 25</v>
          </cell>
          <cell r="L9">
            <v>4</v>
          </cell>
        </row>
        <row r="10">
          <cell r="K10" t="str">
            <v>25-35</v>
          </cell>
          <cell r="L10">
            <v>2</v>
          </cell>
        </row>
        <row r="11">
          <cell r="K11" t="str">
            <v>36-45</v>
          </cell>
          <cell r="L11">
            <v>3</v>
          </cell>
        </row>
        <row r="12">
          <cell r="K12" t="str">
            <v>Above 45</v>
          </cell>
          <cell r="L1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workbookViewId="0">
      <selection activeCell="N12" sqref="N12"/>
    </sheetView>
  </sheetViews>
  <sheetFormatPr defaultColWidth="9" defaultRowHeight="16.8"/>
  <cols>
    <col min="1" max="1" width="19.53125" customWidth="1"/>
    <col min="2" max="2" width="12.75" customWidth="1"/>
    <col min="4" max="4" width="8.5859375" customWidth="1"/>
    <col min="5" max="5" width="9.2421875" customWidth="1"/>
    <col min="8" max="8" width="25.3828125" customWidth="1"/>
  </cols>
  <sheetData>
    <row r="1" ht="20.4" spans="1:15">
      <c r="G1" s="1" t="s">
        <v>0</v>
      </c>
      <c r="H1" s="1"/>
      <c r="I1" s="1"/>
    </row>
    <row r="2" spans="1:15">
      <c r="A2" s="2" t="s">
        <v>1</v>
      </c>
      <c r="B2" s="2"/>
      <c r="N2" s="3" t="s">
        <v>2</v>
      </c>
      <c r="O2" s="3" t="s">
        <v>3</v>
      </c>
    </row>
    <row r="3" spans="1:15">
      <c r="A3" s="4" t="s">
        <v>4</v>
      </c>
      <c r="B3" s="4" t="s">
        <v>5</v>
      </c>
      <c r="N3" s="3" t="s">
        <v>6</v>
      </c>
      <c r="O3" s="3">
        <f>SUMIF(H3:H12,"Home",G3:G12)</f>
        <v>0</v>
      </c>
    </row>
    <row r="4" spans="1:15">
      <c r="A4" s="4" t="s">
        <v>7</v>
      </c>
      <c r="B4" s="4">
        <v>10</v>
      </c>
      <c r="N4" s="3" t="s">
        <v>8</v>
      </c>
      <c r="O4" s="3">
        <f>SUMIF(H3:H12,"Personal",G3:G12)</f>
        <v>0</v>
      </c>
    </row>
    <row r="5" spans="1:15">
      <c r="A5" s="4" t="s">
        <v>9</v>
      </c>
      <c r="B5" s="5">
        <v>6450000</v>
      </c>
      <c r="N5" s="3" t="s">
        <v>10</v>
      </c>
      <c r="O5" s="3">
        <f>SUMIF(H3:H12,"Car",G3:G12)</f>
        <v>0</v>
      </c>
    </row>
    <row r="6" spans="1:15">
      <c r="A6" s="4" t="s">
        <v>11</v>
      </c>
      <c r="B6" s="4">
        <v>6</v>
      </c>
      <c r="N6" s="3" t="s">
        <v>12</v>
      </c>
      <c r="O6" s="3">
        <f>SUMIF(H3:H12,"Animal",G3:G12)</f>
        <v>0</v>
      </c>
    </row>
    <row r="7" spans="1:15">
      <c r="A7" s="4" t="s">
        <v>13</v>
      </c>
      <c r="B7" s="4">
        <v>4</v>
      </c>
      <c r="N7" s="3" t="s">
        <v>14</v>
      </c>
      <c r="O7" s="3">
        <f>SUMIF(H3:H12,"Land",G3:G12)</f>
        <v>0</v>
      </c>
    </row>
    <row r="8" spans="1:15">
      <c r="A8" s="4" t="s">
        <v>15</v>
      </c>
      <c r="B8" s="6">
        <v>0.6</v>
      </c>
    </row>
    <row r="10" spans="1:15">
      <c r="A10" s="2" t="s">
        <v>16</v>
      </c>
      <c r="B10" s="2"/>
    </row>
    <row r="11" spans="1:15">
      <c r="A11" s="7" t="s">
        <v>17</v>
      </c>
      <c r="B11" s="7" t="s">
        <v>18</v>
      </c>
    </row>
    <row r="12" spans="1:15">
      <c r="A12" s="7" t="s">
        <v>19</v>
      </c>
      <c r="B12" s="7">
        <v>4</v>
      </c>
    </row>
    <row r="13" spans="1:15">
      <c r="A13" s="7" t="s">
        <v>20</v>
      </c>
      <c r="B13" s="7">
        <v>2</v>
      </c>
    </row>
    <row r="14" spans="1:15">
      <c r="A14" s="7" t="s">
        <v>21</v>
      </c>
      <c r="B14" s="7">
        <v>3</v>
      </c>
      <c r="I14" s="8"/>
      <c r="J14" s="9"/>
      <c r="K14" s="9"/>
    </row>
    <row r="15" spans="1:15">
      <c r="A15" s="7" t="s">
        <v>22</v>
      </c>
      <c r="B15" s="7">
        <v>1</v>
      </c>
      <c r="E15" s="8" t="s">
        <v>23</v>
      </c>
      <c r="F15" s="9"/>
      <c r="G15" s="9"/>
      <c r="I15" s="8" t="s">
        <v>24</v>
      </c>
      <c r="J15" s="9"/>
      <c r="K15" s="9"/>
    </row>
    <row r="16" spans="1:15">
      <c r="E16" s="8"/>
      <c r="F16" s="9"/>
      <c r="G16" s="9"/>
      <c r="I16" s="8"/>
      <c r="J16" s="9"/>
      <c r="K16" s="9"/>
    </row>
    <row r="18" spans="1:8">
      <c r="A18" s="2" t="s">
        <v>25</v>
      </c>
    </row>
    <row r="19" spans="1:8">
      <c r="A19" s="3" t="s">
        <v>26</v>
      </c>
      <c r="B19" s="3" t="s">
        <v>27</v>
      </c>
    </row>
    <row r="20" spans="1:8">
      <c r="A20" s="3" t="s">
        <v>28</v>
      </c>
      <c r="B20" s="3">
        <v>6</v>
      </c>
    </row>
    <row r="21" spans="1:8">
      <c r="A21" s="3" t="s">
        <v>29</v>
      </c>
      <c r="B21" s="3">
        <v>4</v>
      </c>
    </row>
    <row r="25" spans="1:8">
      <c r="H25" s="8" t="s">
        <v>30</v>
      </c>
    </row>
  </sheetData>
  <mergeCells count="7">
    <mergeCell ref="A2:B2"/>
    <mergeCell ref="A10:B10"/>
    <mergeCell ref="I14:K14"/>
    <mergeCell ref="E15:G15"/>
    <mergeCell ref="I15:K15"/>
    <mergeCell ref="E16:G16"/>
    <mergeCell ref="I16:K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g.satish</dc:creator>
  <cp:lastModifiedBy>Guraka Satish</cp:lastModifiedBy>
  <dcterms:created xsi:type="dcterms:W3CDTF">2026-09-01T19:47:30Z</dcterms:created>
  <dcterms:modified xsi:type="dcterms:W3CDTF">2026-09-01T20:09:58Z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B3A4B7469A2824CB7ADE966A6AAA8D75_41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