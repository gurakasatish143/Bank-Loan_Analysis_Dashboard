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000" windowHeight="11380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<sst xmlns="http://schemas.openxmlformats.org/spreadsheetml/2006/main" count="85" uniqueCount="56">
  <si>
    <t>BANK LOAN ANALYSIS DASHBOARD</t>
  </si>
  <si>
    <t>Order_id</t>
  </si>
  <si>
    <t>Customer_name</t>
  </si>
  <si>
    <t>Age</t>
  </si>
  <si>
    <t>Gender</t>
  </si>
  <si>
    <t>Income</t>
  </si>
  <si>
    <t>Loan_amount</t>
  </si>
  <si>
    <t>Loan_Type</t>
  </si>
  <si>
    <t>Credit_Score</t>
  </si>
  <si>
    <t>Loan_Stauts</t>
  </si>
  <si>
    <t>Loan_status</t>
  </si>
  <si>
    <t>Count</t>
  </si>
  <si>
    <t>Load_type</t>
  </si>
  <si>
    <t>Total_Loan_amount</t>
  </si>
  <si>
    <t>L001</t>
  </si>
  <si>
    <t>Satish</t>
  </si>
  <si>
    <t>Male</t>
  </si>
  <si>
    <t>Home</t>
  </si>
  <si>
    <t>Approved</t>
  </si>
  <si>
    <t>L002</t>
  </si>
  <si>
    <t>Yogi</t>
  </si>
  <si>
    <t>Personal</t>
  </si>
  <si>
    <t>Rejected</t>
  </si>
  <si>
    <t>L003</t>
  </si>
  <si>
    <t>Kartik</t>
  </si>
  <si>
    <t>Car</t>
  </si>
  <si>
    <t>L004</t>
  </si>
  <si>
    <t>Naresh</t>
  </si>
  <si>
    <t>Animal</t>
  </si>
  <si>
    <t>L005</t>
  </si>
  <si>
    <t>Nani</t>
  </si>
  <si>
    <t>Land</t>
  </si>
  <si>
    <t>L006</t>
  </si>
  <si>
    <t>Kalpana</t>
  </si>
  <si>
    <t>Female</t>
  </si>
  <si>
    <t>Group Age</t>
  </si>
  <si>
    <t>Applications</t>
  </si>
  <si>
    <t>L007</t>
  </si>
  <si>
    <t>Raja</t>
  </si>
  <si>
    <t>Under 25</t>
  </si>
  <si>
    <t>L008</t>
  </si>
  <si>
    <t>Bunny</t>
  </si>
  <si>
    <t>25-35</t>
  </si>
  <si>
    <t>L009</t>
  </si>
  <si>
    <t>Samantha</t>
  </si>
  <si>
    <t>36-45</t>
  </si>
  <si>
    <t>L010</t>
  </si>
  <si>
    <t>Rukku</t>
  </si>
  <si>
    <t>Above 45</t>
  </si>
  <si>
    <t>KPI</t>
  </si>
  <si>
    <t>Result</t>
  </si>
  <si>
    <t>Total Application</t>
  </si>
  <si>
    <t>Total Loan_amount</t>
  </si>
  <si>
    <t>Approved Application</t>
  </si>
  <si>
    <t>Rejected Application</t>
  </si>
  <si>
    <t>Approval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</si>
</sst>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9" fontId="0" fillId="0" borderId="1" xfId="3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Sheet1!$L$2</c:f>
              <c:strCache>
                <c:ptCount val="1"/>
                <c:pt idx="0">
                  <c:v>Count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Sheet1!$K$3:$K$4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Sheet1!$L$3:$L$4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be08f8-d2be-4992-bca5-675b33dcd6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Sheet1!$N$2</c:f>
              <c:strCache>
                <c:ptCount val="1"/>
                <c:pt idx="0">
                  <c:v>Total_Loan_amount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Sheet1!$M$3:$M$7</c:f>
              <c:strCache>
                <c:ptCount val="5"/>
                <c:pt idx="0">
                  <c:v>Home</c:v>
                </c:pt>
                <c:pt idx="1">
                  <c:v>Personal</c:v>
                </c:pt>
                <c:pt idx="2">
                  <c:v>Car</c:v>
                </c:pt>
                <c:pt idx="3">
                  <c:v>Animal</c:v>
                </c:pt>
                <c:pt idx="4">
                  <c:v>Land</c:v>
                </c:pt>
              </c:strCache>
            </c:strRef>
          </c:cat>
          <c:val>
            <c:numRef>
              <c:f>Sheet1!$N$3:$N$7</c:f>
              <c:numCache>
                <c:formatCode>General</c:formatCode>
                <c:ptCount val="5"/>
                <c:pt idx="0">
                  <c:v>2900000</c:v>
                </c:pt>
                <c:pt idx="1">
                  <c:v>1500000</c:v>
                </c:pt>
                <c:pt idx="2">
                  <c:v>500000</c:v>
                </c:pt>
                <c:pt idx="3">
                  <c:v>1500000</c:v>
                </c:pt>
                <c:pt idx="4">
                  <c:v>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6ad56b-2686-4d4b-b2af-6830a4b6ea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Sheet1!$L$8</c:f>
              <c:strCache>
                <c:ptCount val="1"/>
                <c:pt idx="0">
                  <c:v>Applications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Sheet1!$K$9:$K$12</c:f>
              <c:strCache>
                <c:ptCount val="4"/>
                <c:pt idx="0">
                  <c:v>Under 25</c:v>
                </c:pt>
                <c:pt idx="1">
                  <c:v>25-35</c:v>
                </c:pt>
                <c:pt idx="2">
                  <c:v>36-45</c:v>
                </c:pt>
                <c:pt idx="3">
                  <c:v>Above 45</c:v>
                </c:pt>
              </c:strCache>
            </c:strRef>
          </c:cat>
          <c:val>
            <c:numRef>
              <c:f>Sheet1!$L$9:$L$12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a93d3a-81c8-4479-8d60-99e73ca870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243840</xdr:colOff>
      <xdr:row>18</xdr:row>
      <xdr:rowOff>120650</xdr:rowOff>
    </xdr:from>
    <xdr:to>
      <xdr:col>2</xdr:col>
      <xdr:colOff>481965</xdr:colOff>
      <xdr:row>26</xdr:row>
      <xdr:rowOff>84455</xdr:rowOff>
    </xdr:to>
    <xdr:graphicFrame>
      <xdr:nvGraphicFramePr>
        <xdr:cNvPr id="4" name="Chart 3"/>
        <xdr:cNvGraphicFramePr/>
      </xdr:nvGraphicFramePr>
      <xdr:xfrm>
        <a:off x="243840" y="4006850"/>
        <a:ext cx="2313305" cy="1670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539750</xdr:colOff>
      <xdr:row>14</xdr:row>
      <xdr:rowOff>107950</xdr:rowOff>
    </xdr:from>
    <xdr:to>
      <xdr:col>15</xdr:col>
      <xdr:colOff>398145</xdr:colOff>
      <xdr:row>21</xdr:row>
      <xdr:rowOff>177165</xdr:rowOff>
    </xdr:to>
    <xdr:graphicFrame>
      <xdr:nvGraphicFramePr>
        <xdr:cNvPr id="2" name="Chart 1"/>
        <xdr:cNvGraphicFramePr/>
      </xdr:nvGraphicFramePr>
      <xdr:xfrm>
        <a:off x="11179175" y="3140710"/>
        <a:ext cx="3575685" cy="1562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168910</xdr:colOff>
      <xdr:row>18</xdr:row>
      <xdr:rowOff>121285</xdr:rowOff>
    </xdr:from>
    <xdr:to>
      <xdr:col>11</xdr:col>
      <xdr:colOff>314325</xdr:colOff>
      <xdr:row>28</xdr:row>
      <xdr:rowOff>93980</xdr:rowOff>
    </xdr:to>
    <xdr:graphicFrame>
      <xdr:nvGraphicFramePr>
        <xdr:cNvPr id="3" name="Chart 2"/>
        <xdr:cNvGraphicFramePr/>
      </xdr:nvGraphicFramePr>
      <xdr:xfrm>
        <a:off x="7081520" y="4007485"/>
        <a:ext cx="3872230" cy="2106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selection activeCell="E19" sqref="E19"/>
    </sheetView>
  </sheetViews>
  <sheetFormatPr defaultColWidth="9" defaultRowHeight="16.8"/>
  <cols>
    <col min="2" max="2" width="16.53125" customWidth="1"/>
    <col min="4" max="4" width="7.6796875" customWidth="1"/>
    <col min="5" max="5" width="12.7578125" customWidth="1"/>
    <col min="6" max="6" width="19.140625" customWidth="1"/>
    <col min="7" max="7" width="10.9375" customWidth="1"/>
    <col min="8" max="8" width="12.6328125" customWidth="1"/>
    <col min="9" max="9" width="11.453125" customWidth="1"/>
    <col min="11" max="11" width="12.765625" customWidth="1"/>
    <col min="12" max="12" width="11.1953125" customWidth="1"/>
    <col min="14" max="14" width="16.5390625" customWidth="1"/>
  </cols>
  <sheetData>
    <row r="1" ht="20.4" spans="1:14">
      <c r="E1" s="1" t="s">
        <v>0</v>
      </c>
      <c r="F1" s="1"/>
      <c r="G1" s="1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K2" s="3" t="s">
        <v>10</v>
      </c>
      <c r="L2" s="4" t="s">
        <v>11</v>
      </c>
      <c r="M2" s="3" t="s">
        <v>12</v>
      </c>
      <c r="N2" s="3" t="s">
        <v>13</v>
      </c>
    </row>
    <row r="3" spans="1:14">
      <c r="A3" s="2" t="s">
        <v>14</v>
      </c>
      <c r="B3" s="2" t="s">
        <v>15</v>
      </c>
      <c r="C3" s="2">
        <v>21</v>
      </c>
      <c r="D3" s="2" t="s">
        <v>16</v>
      </c>
      <c r="E3" s="2">
        <v>100000</v>
      </c>
      <c r="F3" s="2">
        <v>2000000</v>
      </c>
      <c r="G3" s="2" t="s">
        <v>17</v>
      </c>
      <c r="H3" s="2">
        <v>850</v>
      </c>
      <c r="I3" s="2" t="s">
        <v>18</v>
      </c>
      <c r="K3" s="3" t="s">
        <v>18</v>
      </c>
      <c r="L3" s="4">
        <f>COUNTIF(I3:I12,"Approved")</f>
        <v>6</v>
      </c>
      <c r="M3" s="3" t="s">
        <v>17</v>
      </c>
      <c r="N3" s="3">
        <f>SUMIF(G3:G12,"Home",F3:F12)</f>
        <v>2900000</v>
      </c>
    </row>
    <row r="4" spans="1:14">
      <c r="A4" s="2" t="s">
        <v>19</v>
      </c>
      <c r="B4" s="2" t="s">
        <v>20</v>
      </c>
      <c r="C4" s="2">
        <v>24</v>
      </c>
      <c r="D4" s="2" t="s">
        <v>16</v>
      </c>
      <c r="E4" s="2">
        <v>200000</v>
      </c>
      <c r="F4" s="2">
        <v>1000000</v>
      </c>
      <c r="G4" s="2" t="s">
        <v>21</v>
      </c>
      <c r="H4" s="2">
        <v>950</v>
      </c>
      <c r="I4" s="2" t="s">
        <v>18</v>
      </c>
      <c r="K4" s="3" t="s">
        <v>22</v>
      </c>
      <c r="L4" s="4">
        <f>COUNTIF(I3:I12,"Rejected")</f>
        <v>4</v>
      </c>
      <c r="M4" s="3" t="s">
        <v>21</v>
      </c>
      <c r="N4" s="3">
        <f>SUMIF(G3:G12,"Personal",F3:F12)</f>
        <v>1500000</v>
      </c>
    </row>
    <row r="5" spans="1:14">
      <c r="A5" s="2" t="s">
        <v>23</v>
      </c>
      <c r="B5" s="2" t="s">
        <v>24</v>
      </c>
      <c r="C5" s="2">
        <v>38</v>
      </c>
      <c r="D5" s="2" t="s">
        <v>16</v>
      </c>
      <c r="E5" s="2">
        <v>50000</v>
      </c>
      <c r="F5" s="2">
        <v>200000</v>
      </c>
      <c r="G5" s="2" t="s">
        <v>17</v>
      </c>
      <c r="H5" s="2">
        <v>750</v>
      </c>
      <c r="I5" s="2" t="s">
        <v>22</v>
      </c>
      <c r="J5" s="5"/>
      <c r="K5" s="5"/>
      <c r="L5" s="5"/>
      <c r="M5" s="3" t="s">
        <v>25</v>
      </c>
      <c r="N5" s="3">
        <f>SUMIF(G3:G12,"Car",F3:F12)</f>
        <v>500000</v>
      </c>
    </row>
    <row r="6" spans="1:14">
      <c r="A6" s="2" t="s">
        <v>26</v>
      </c>
      <c r="B6" s="2" t="s">
        <v>27</v>
      </c>
      <c r="C6" s="2">
        <v>34</v>
      </c>
      <c r="D6" s="2" t="s">
        <v>16</v>
      </c>
      <c r="E6" s="2">
        <v>70000</v>
      </c>
      <c r="F6" s="2">
        <v>500000</v>
      </c>
      <c r="G6" s="2" t="s">
        <v>25</v>
      </c>
      <c r="H6" s="2">
        <v>600</v>
      </c>
      <c r="I6" s="2" t="s">
        <v>22</v>
      </c>
      <c r="M6" s="3" t="s">
        <v>28</v>
      </c>
      <c r="N6" s="3">
        <f>SUMIF(G3:G12,"Animal",F3:F12)</f>
        <v>1500000</v>
      </c>
    </row>
    <row r="7" spans="1:14">
      <c r="A7" s="2" t="s">
        <v>29</v>
      </c>
      <c r="B7" s="2" t="s">
        <v>30</v>
      </c>
      <c r="C7" s="2">
        <v>20</v>
      </c>
      <c r="D7" s="2" t="s">
        <v>16</v>
      </c>
      <c r="E7" s="2">
        <v>60000</v>
      </c>
      <c r="F7" s="2">
        <v>300000</v>
      </c>
      <c r="G7" s="2" t="s">
        <v>21</v>
      </c>
      <c r="H7" s="2">
        <v>450</v>
      </c>
      <c r="I7" s="2" t="s">
        <v>22</v>
      </c>
      <c r="M7" s="3" t="s">
        <v>31</v>
      </c>
      <c r="N7" s="3">
        <f>SUMIF(G3:G12,"Land",F3:F12)</f>
        <v>50000</v>
      </c>
    </row>
    <row r="8" spans="1:14">
      <c r="A8" s="2" t="s">
        <v>32</v>
      </c>
      <c r="B8" s="2" t="s">
        <v>33</v>
      </c>
      <c r="C8" s="2">
        <v>21</v>
      </c>
      <c r="D8" s="2" t="s">
        <v>34</v>
      </c>
      <c r="E8" s="2">
        <v>30000</v>
      </c>
      <c r="F8" s="2">
        <v>100000</v>
      </c>
      <c r="G8" s="2" t="s">
        <v>17</v>
      </c>
      <c r="H8" s="2">
        <v>550</v>
      </c>
      <c r="I8" s="2" t="s">
        <v>22</v>
      </c>
      <c r="K8" s="3" t="s">
        <v>35</v>
      </c>
      <c r="L8" s="3" t="s">
        <v>36</v>
      </c>
    </row>
    <row r="9" spans="1:14">
      <c r="A9" s="2" t="s">
        <v>37</v>
      </c>
      <c r="B9" s="2" t="s">
        <v>38</v>
      </c>
      <c r="C9" s="2">
        <v>27</v>
      </c>
      <c r="D9" s="2" t="s">
        <v>16</v>
      </c>
      <c r="E9" s="2">
        <v>40000</v>
      </c>
      <c r="F9" s="2">
        <v>1500000</v>
      </c>
      <c r="G9" s="2" t="s">
        <v>28</v>
      </c>
      <c r="H9" s="2">
        <v>700</v>
      </c>
      <c r="I9" s="2" t="s">
        <v>18</v>
      </c>
      <c r="K9" s="3" t="s">
        <v>39</v>
      </c>
      <c r="L9" s="3">
        <f>COUNTIF(C2:C12,"&lt;25")</f>
        <v>4</v>
      </c>
    </row>
    <row r="10" spans="1:14">
      <c r="A10" s="2" t="s">
        <v>40</v>
      </c>
      <c r="B10" s="2" t="s">
        <v>41</v>
      </c>
      <c r="C10" s="2">
        <v>50</v>
      </c>
      <c r="D10" s="2" t="s">
        <v>16</v>
      </c>
      <c r="E10" s="2">
        <v>10000</v>
      </c>
      <c r="F10" s="2">
        <v>50000</v>
      </c>
      <c r="G10" s="2" t="s">
        <v>31</v>
      </c>
      <c r="H10" s="2">
        <v>650</v>
      </c>
      <c r="I10" s="2" t="s">
        <v>18</v>
      </c>
      <c r="K10" s="3" t="s">
        <v>42</v>
      </c>
      <c r="L10" s="3">
        <f>COUNTIFS(C3:C12,"&gt;=25",C3:C12,"&lt;=35")</f>
        <v>2</v>
      </c>
    </row>
    <row r="11" spans="1:14">
      <c r="A11" s="2" t="s">
        <v>43</v>
      </c>
      <c r="B11" s="2" t="s">
        <v>44</v>
      </c>
      <c r="C11" s="2">
        <v>40</v>
      </c>
      <c r="D11" s="2" t="s">
        <v>34</v>
      </c>
      <c r="E11" s="2">
        <v>90000</v>
      </c>
      <c r="F11" s="2">
        <v>600000</v>
      </c>
      <c r="G11" s="2" t="s">
        <v>17</v>
      </c>
      <c r="H11" s="2">
        <v>750</v>
      </c>
      <c r="I11" s="2" t="s">
        <v>18</v>
      </c>
      <c r="K11" s="3" t="s">
        <v>45</v>
      </c>
      <c r="L11" s="3">
        <f>COUNTIFS(C3:C12,"&gt;=36",C3:C12,"&lt;=45")</f>
        <v>3</v>
      </c>
    </row>
    <row r="12" spans="1:14">
      <c r="A12" s="2" t="s">
        <v>46</v>
      </c>
      <c r="B12" s="2" t="s">
        <v>47</v>
      </c>
      <c r="C12" s="2">
        <v>45</v>
      </c>
      <c r="D12" s="2" t="s">
        <v>34</v>
      </c>
      <c r="E12" s="2">
        <v>50000</v>
      </c>
      <c r="F12" s="2">
        <v>200000</v>
      </c>
      <c r="G12" s="2" t="s">
        <v>21</v>
      </c>
      <c r="H12" s="2">
        <v>850</v>
      </c>
      <c r="I12" s="2" t="s">
        <v>18</v>
      </c>
      <c r="K12" s="3" t="s">
        <v>48</v>
      </c>
      <c r="L12" s="3">
        <f>COUNTIFS(C3:C12,"&gt;45")</f>
        <v>1</v>
      </c>
    </row>
    <row r="14" spans="1:14">
      <c r="C14">
        <f>COUNTIFS(C3:C12,"&lt;25")</f>
        <v>4</v>
      </c>
      <c r="D14">
        <f>SUM(F3:F12)</f>
        <v>6450000</v>
      </c>
      <c r="F14">
        <f>COUNTIF(I3:I12,"Approved")/COUNTA(A3:A12)*100</f>
        <v>60</v>
      </c>
      <c r="G14">
        <f>SUMIF(G3:G12,"Home",F3:F12)</f>
        <v>2900000</v>
      </c>
      <c r="I14">
        <f>COUNTIF(I3:I12,"Approved")</f>
        <v>6</v>
      </c>
    </row>
    <row r="15" spans="1:14">
      <c r="C15">
        <f>COUNTIFS(C3:C12,"&gt;=26",C3:C12,"&lt;=35")</f>
        <v>2</v>
      </c>
      <c r="D15">
        <f>AVERAGE(F3:F12)</f>
        <v>645000</v>
      </c>
      <c r="F15" t="str">
        <f>IF(E3&lt;40000,"Low",IF(E3&lt;=70000,"Medium","High"))</f>
        <v>High</v>
      </c>
      <c r="G15">
        <f>SUMIF(G3:G12,"Personal",F3:F12)</f>
        <v>1500000</v>
      </c>
      <c r="H15">
        <f>COUNTIFS(H3:H12,"&gt;=700",I3:I12,"Approved")</f>
        <v>5</v>
      </c>
      <c r="I15">
        <f>COUNTIF(I3:I12,"Rejected")</f>
        <v>4</v>
      </c>
    </row>
    <row r="16" spans="1:14">
      <c r="C16">
        <f>COUNTIFS(C3:C12,"&gt;=35",C3:C12,"&lt;=45")</f>
        <v>3</v>
      </c>
      <c r="D16">
        <f>MAX(F3:F12)</f>
        <v>2000000</v>
      </c>
      <c r="F16">
        <f>SUMIF(E3:E12,"&lt;40000",F3:F12)</f>
        <v>150000</v>
      </c>
      <c r="G16">
        <f>SUMIF(G3:G12,"Car",F3:F12)</f>
        <v>500000</v>
      </c>
      <c r="H16">
        <f>COUNTIFS(H3:H12,"&lt;700",I3:I12,"Approved")</f>
        <v>1</v>
      </c>
    </row>
    <row r="17" spans="3:8">
      <c r="C17">
        <f>COUNTIFS(C3:C12,"&gt;45")</f>
        <v>1</v>
      </c>
      <c r="D17">
        <f>MIN(F3:F12)</f>
        <v>50000</v>
      </c>
      <c r="F17">
        <f>SUMIFS(F3:F12,E3:E12,"&gt;=40000",E3:E12,"&lt;=70000")</f>
        <v>2700000</v>
      </c>
      <c r="G17">
        <f>SUMIF(G3:G12,"Animal",F3:F12)</f>
        <v>1500000</v>
      </c>
      <c r="H17">
        <f>COUNTIFS(H3:H12,"&gt;=700",I3:I12,"Approved")/COUNTIF(H3:H12,"&gt;=700")*100</f>
        <v>83.3333333333333</v>
      </c>
    </row>
    <row r="18" spans="3:8">
      <c r="F18">
        <f>SUMIF(E3:E12,"&gt;70000",F3:F12)</f>
        <v>3600000</v>
      </c>
      <c r="G18">
        <f>SUMIF(G3:G12,"Land",F3:F12)</f>
        <v>50000</v>
      </c>
      <c r="H18">
        <f>COUNTIFS(H3:H12,"&lt;700",I3:I12,"Approved")/COUNTIF(H3:H12,"&lt;700")*100</f>
        <v>25</v>
      </c>
    </row>
    <row r="19" spans="3:8">
      <c r="E19" s="6" t="s">
        <v>0</v>
      </c>
      <c r="F19" s="6"/>
      <c r="G19" s="7"/>
    </row>
    <row r="20" spans="3:8">
      <c r="E20" s="6" t="s">
        <v>49</v>
      </c>
      <c r="F20" s="6" t="s">
        <v>50</v>
      </c>
      <c r="G20" s="7"/>
    </row>
    <row r="21" spans="3:8">
      <c r="E21" s="3" t="s">
        <v>51</v>
      </c>
      <c r="F21" s="8">
        <f>COUNTA(B3:B12)</f>
        <v>10</v>
      </c>
      <c r="G21" s="9"/>
      <c r="H21" s="9">
        <f>COUNTIF(G3:G12,"Personal")</f>
        <v>3</v>
      </c>
    </row>
    <row r="22" spans="3:8">
      <c r="E22" s="3" t="s">
        <v>52</v>
      </c>
      <c r="F22" s="8">
        <f>SUM(F3:F12)</f>
        <v>6450000</v>
      </c>
      <c r="G22" s="9"/>
      <c r="H22" s="9">
        <f>COUNTIF(G3:G12,"Car")</f>
        <v>1</v>
      </c>
    </row>
    <row r="23" spans="3:8">
      <c r="E23" s="3" t="s">
        <v>53</v>
      </c>
      <c r="F23" s="8">
        <f>COUNTIF(I3:I12,"Approved")</f>
        <v>6</v>
      </c>
      <c r="G23" s="9"/>
      <c r="H23" s="9"/>
    </row>
    <row r="24" spans="3:8">
      <c r="E24" s="3" t="s">
        <v>54</v>
      </c>
      <c r="F24" s="8">
        <f>COUNTIF(I3:I12,"Rejected")</f>
        <v>4</v>
      </c>
      <c r="G24" s="9"/>
      <c r="H24" s="9"/>
    </row>
    <row r="25" spans="3:8">
      <c r="E25" s="3" t="s">
        <v>55</v>
      </c>
      <c r="F25" s="10">
        <f>COUNTIF(I3:I12,"Approved")/COUNTA(I3:I12)</f>
        <v>0.6</v>
      </c>
    </row>
  </sheetData>
  <mergeCells count="2">
    <mergeCell ref="E1:G1"/>
    <mergeCell ref="J5:L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g.satish</dc:creator>
  <cp:lastModifiedBy>Guraka Satish</cp:lastModifiedBy>
  <dcterms:created xsi:type="dcterms:W3CDTF">2026-08-31T12:06:00Z</dcterms:created>
  <dcterms:modified xsi:type="dcterms:W3CDTF">2026-09-01T19:31:13Z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24C44C1DA676A763F838946A65125381_41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